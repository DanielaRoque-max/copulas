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ableros 2025\BDA\"/>
    </mc:Choice>
  </mc:AlternateContent>
  <bookViews>
    <workbookView xWindow="0" yWindow="0" windowWidth="28800" windowHeight="12330"/>
  </bookViews>
  <sheets>
    <sheet name="Notas" sheetId="1" r:id="rId1"/>
  </sheets>
  <definedNames>
    <definedName name="_xlnm.Print_Area" localSheetId="0">Notas!$A$1:$V$44</definedName>
    <definedName name="cds" localSheetId="0">#REF!</definedName>
    <definedName name="cds">#REF!</definedName>
    <definedName name="FASSA20041a" localSheetId="0">#REF!</definedName>
    <definedName name="FASSA20041a">#REF!</definedName>
    <definedName name="FASSA2013" localSheetId="0">#REF!</definedName>
    <definedName name="FASSA2013">#REF!</definedName>
    <definedName name="FASSA20131A" localSheetId="0">#REF!</definedName>
    <definedName name="FASSA20131A">#REF!</definedName>
    <definedName name="ME" localSheetId="0">#REF!</definedName>
    <definedName name="ME">#REF!</definedName>
    <definedName name="MEX" localSheetId="0">#REF!</definedName>
    <definedName name="MEX">#REF!</definedName>
    <definedName name="MEXI" localSheetId="0">#REF!</definedName>
    <definedName name="MEXI">#REF!</definedName>
    <definedName name="MEZ" localSheetId="0">#REF!</definedName>
    <definedName name="MEZ">#REF!</definedName>
    <definedName name="oss" localSheetId="0">#REF!</definedName>
    <definedName name="oss">#REF!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5" i="1" l="1"/>
  <c r="M35" i="1"/>
  <c r="N35" i="1"/>
  <c r="O35" i="1"/>
  <c r="R35" i="1"/>
  <c r="S35" i="1"/>
  <c r="T35" i="1"/>
  <c r="C35" i="1"/>
  <c r="D29" i="1"/>
  <c r="I29" i="1"/>
  <c r="J29" i="1"/>
  <c r="L29" i="1"/>
  <c r="M29" i="1"/>
  <c r="N29" i="1"/>
  <c r="P29" i="1"/>
  <c r="R29" i="1"/>
  <c r="T29" i="1"/>
  <c r="U29" i="1"/>
  <c r="C29" i="1"/>
  <c r="O29" i="1"/>
  <c r="D35" i="1"/>
  <c r="E35" i="1"/>
  <c r="F35" i="1"/>
  <c r="G35" i="1"/>
  <c r="H35" i="1"/>
  <c r="I35" i="1"/>
  <c r="J35" i="1"/>
  <c r="K35" i="1"/>
  <c r="P35" i="1"/>
  <c r="Q35" i="1"/>
  <c r="U35" i="1"/>
  <c r="E29" i="1"/>
  <c r="F29" i="1"/>
  <c r="F36" i="1" s="1"/>
  <c r="G29" i="1"/>
  <c r="G36" i="1" s="1"/>
  <c r="H29" i="1"/>
  <c r="H36" i="1" s="1"/>
  <c r="K29" i="1"/>
  <c r="U36" i="1" l="1"/>
  <c r="N36" i="1"/>
  <c r="O36" i="1"/>
  <c r="T36" i="1"/>
  <c r="R36" i="1"/>
  <c r="P36" i="1"/>
  <c r="M36" i="1"/>
  <c r="K36" i="1"/>
  <c r="L36" i="1"/>
  <c r="I36" i="1"/>
  <c r="D36" i="1"/>
  <c r="J36" i="1"/>
  <c r="E36" i="1"/>
  <c r="C36" i="1"/>
  <c r="S29" i="1"/>
  <c r="S36" i="1" s="1"/>
  <c r="Q29" i="1"/>
  <c r="Q36" i="1" s="1"/>
</calcChain>
</file>

<file path=xl/sharedStrings.xml><?xml version="1.0" encoding="utf-8"?>
<sst xmlns="http://schemas.openxmlformats.org/spreadsheetml/2006/main" count="33" uniqueCount="32">
  <si>
    <t>Secretaria de Salud</t>
  </si>
  <si>
    <t>Dirección General de Información en Salud</t>
  </si>
  <si>
    <t>Sistema de Cuentas en Salud a nivel Federal y Estatal</t>
  </si>
  <si>
    <t>Notas</t>
  </si>
  <si>
    <t>Fuente</t>
  </si>
  <si>
    <t>1. Secretaria de Salud
    (Ramo 12)</t>
  </si>
  <si>
    <t>2. FASSA (Ramo 33)</t>
  </si>
  <si>
    <t>4. SEDENA 
    (Ramo 7)</t>
  </si>
  <si>
    <t>5. SEMAR
    (Ramo 13)</t>
  </si>
  <si>
    <t>6. Gasto Estatal</t>
  </si>
  <si>
    <t>7. Recursos propios y de terceros</t>
  </si>
  <si>
    <t>8. Universidades (Ramo 11)</t>
  </si>
  <si>
    <t>9. Consejo Nacional de Ciencia y Tecnología (Ramo 38)</t>
  </si>
  <si>
    <t>10. Instituto para Devolverle al Pueblo lo Robado (INDEP)</t>
  </si>
  <si>
    <t>Gasto para la población sin seguridad social</t>
  </si>
  <si>
    <t>7. IMSS</t>
  </si>
  <si>
    <t>8. ISSSTE</t>
  </si>
  <si>
    <t>9. PEMEX</t>
  </si>
  <si>
    <t>10. ISSES</t>
  </si>
  <si>
    <t>11. ISSFAM</t>
  </si>
  <si>
    <t>Gasto Público en Salud</t>
  </si>
  <si>
    <t>Monto no desagregado</t>
  </si>
  <si>
    <t>11. Participaciones a Entidades Federativas (Ramo 28)</t>
  </si>
  <si>
    <t>12. OPD IMSS BIENESTAR (Ramo 47)</t>
  </si>
  <si>
    <r>
      <t xml:space="preserve">1. La información financiera del gasto público en salud se presenta de acuerdo al clasificador por objeto del gasto, a nivel capítulo, concepto, partida genérica y partida específica. La desagregación a nivel entidad federativa no está disponible para las siguientes fuentes de financiamiento: </t>
    </r>
    <r>
      <rPr>
        <b/>
        <sz val="9"/>
        <rFont val="Noto Sans"/>
        <family val="2"/>
      </rPr>
      <t>Ramo 12 (Secretaría de Salud), Recursos Propios y de Terceros (Secretaría de Salud), INDEP, SEDENA (Ramo 7, reporta por entidad 2023 y 2024), SEMAR (Ramo 13, excepto 2023), ISSFAM (Ramo 19), Ramo 38 (Consejo Nacional de Humanidades, Ciencia y Tecnología), y Ramo 11 (Educación, Universidades).</t>
    </r>
  </si>
  <si>
    <t>3. Programa IMSS-Prospera
    (Ramo 19)</t>
  </si>
  <si>
    <t>y para la población con seguridad social incluye el IMSS, ISSSTE, PEMEX y las Instituciones de Seguridad Social de las Entidades Federativas (ISSES), salvo las siguientes excepciones:
2013: ISSSTECH (1,091.43117 millones de pesos) e ISSSTESON (4,245.12315 millones de pesos) no desagregaron información por capítulo de gasto.
2017: SMTECoah (514.88 millones de pesos) y IMIEM (697.67 millones de pesos) no desagregaron información por capítulo de gasto.
2019: SMTECoah (607.93 millones de pesos) no desagregó información por capítulo de gasto.
2024: ISSSTECH no desagregó (1,448.35 millones de pesos).</t>
  </si>
  <si>
    <r>
      <t xml:space="preserve">2. La información de "Nacional" incluye todas las fuentes que reportaron la información desagregada por capitulo de gasto. La información por entidad federativa incluye para el gasto de la población sin seguridad social las fuentes de FASSA (Ramo 33), Gasto Estatal e IMSS-BIENESTAR (Ramo 19), salvo las siguientes excepciones:
2008: El Gasto Estatal de Baja California (2,214.222 millones de pesos) no desagregaron por capítulo de gasto.
2011: El Gasto Estatal de BCS (326.29396 millones de pesos), Chiapas (644.70272 millones de pesos), Guerrero (262.89685 millones de pesos), Jalisco (1,976.82804 millones de pesos) y Yucatán (280.81590 millones de pesos), así como el gasto FASSA de BCS (636.73301 millones de pesos), Guerrero (2,852.23893 millones de pesos), Jalisco (3,280.65426 millones de pesos) y Yucatán (1,222.73761 millones de pesos) no fueron desagregados por capítulo de gasto.
2012: El gasto estatal de BCS (149.68109 millones de pesos), Guerrero (253.05837 millones de pesos), Jalisco (1,820.22616 millones de pesos) y Yucatán (445.16954 millones de pesos), así como el gasto FASSA de BCS (743.01783 millones de pesos), Jalisco (3,536.47537 millones de pesos) y Yucatán (1,499.83225 millones de pesos) no fue desagregado por capítulo de gasto.
2013: El gasto estatal de Coahuila (281.89557 millones de pesos), Guerrero (294.18630 millones de pesos), Jalisco (1,668.92547 millones de pesos) y Veracruz (489.01390 millones de pesos), así como el gasto FASSA de Guerrero (3,179.08178 millones de pesos), Jalisco (3,651.30321 millones de pesos) y Veracruz (4,273.88342 millones de pesos) no fue desagregado por capítulo de gasto.
2014: El gasto FASSA de Guerrero (3,513.31929 millones de pesos), así como el gasto estatal de Coahuila (277.25549 millones de pesos), Guerrero (301.33663 millones de pesos), Jalisco (3,099.53889 millones de pesos) y Veracruz (674.01365 millones de pesos), no fue desagregado por capítulo de gasto.
2017: Coahuila no desagregó por capítulo de gasto el gasto estatal (348.7976 millones de pesos) ni el FASSA (1,862.44038 millones de pesos).
2019: Oaxaca no desagregó por capítulo de gasto el gasto estatal (241.80277 millones de pesos) ni el FASSA (4,609.05824 millones de pesos). Campeche codificó en el capítulo 8000 el monto de 18.77 millones de pesos del gasto estatal, el cual se considera "No desagregado".
2020: Oaxaca codificó en el capítulo 8000 el monto de 1,512.08 millones de pesos del FASSA, el cual se considera "No desagregado".
</t>
    </r>
    <r>
      <rPr>
        <sz val="9"/>
        <color theme="1"/>
        <rFont val="Noto Sans"/>
        <family val="2"/>
      </rPr>
      <t>2024: Oaxaca no desagregó la información del FASSA (4,933.38 millones de pesos) y Gasto Estatal (3,129.17 millones de pesos); y la Universidad Autónoma de Morelos  no desagregó (10.69 millones de pesos).</t>
    </r>
  </si>
  <si>
    <t>3. La información de la Secretaria de Salud se integra únicamente en el gasto "Nacional", debido a que la información se encuentra integrada según su organización administrativa (organismos, órganos y unidades centrales) y por tal motivo, no se desagrega por entidad federativa.</t>
  </si>
  <si>
    <t>Cuadro 1: Gasto Público en Salud por fuente de financiamiento y tipo de población, 2003-2024</t>
  </si>
  <si>
    <t>4. La información que se encuentra contenida en la base "BD_COG_2003-2024" se encuentra valorada en miles de pesos corrientes y la información del Cuadro 1 en millones de pesos corrientes.</t>
  </si>
  <si>
    <t>5. Las cifras del Cuadro 1 pueden presentar diferencias con las sumatorias de la base "BD_COG_2003-2024" derivadas del redondeo al cambiar la denominación de miles a millones de pesos.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</si>
</sst>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43" formatCode="_-* #,##0.00_-;\-* #,##0.00_-;_-* &quot;-&quot;??_-;_-@_-"/>
    <numFmt numFmtId="164" formatCode="#,##0.00000"/>
  </numFmts>
  <fonts count="16" x14ac:knownFonts="1">
    <font>
      <sz val="11"/>
      <color theme="1"/>
      <name val="Calibri"/>
      <family val="2"/>
      <scheme val="minor"/>
    </font>
    <font>
      <sz val="10"/>
      <name val="Arial"/>
      <family val="2"/>
    </font>
    <font>
      <sz val="11"/>
      <color theme="1"/>
      <name val="Noto Sans"/>
      <family val="2"/>
    </font>
    <font>
      <b/>
      <sz val="14"/>
      <color rgb="FFB38E5D"/>
      <name val="Noto Sans"/>
      <family val="2"/>
    </font>
    <font>
      <sz val="12"/>
      <color rgb="FFB38E5D"/>
      <name val="Noto Sans"/>
      <family val="2"/>
    </font>
    <font>
      <b/>
      <sz val="14"/>
      <color rgb="FF9D2449"/>
      <name val="Noto Sans"/>
      <family val="2"/>
    </font>
    <font>
      <b/>
      <sz val="14"/>
      <color rgb="FF006600"/>
      <name val="Noto Sans"/>
      <family val="2"/>
    </font>
    <font>
      <sz val="9"/>
      <name val="Noto Sans"/>
      <family val="2"/>
    </font>
    <font>
      <b/>
      <sz val="9"/>
      <name val="Noto Sans"/>
      <family val="2"/>
    </font>
    <font>
      <sz val="9"/>
      <color theme="1"/>
      <name val="Noto Sans"/>
      <family val="2"/>
    </font>
    <font>
      <b/>
      <sz val="9"/>
      <color rgb="FF9D2449"/>
      <name val="Noto Sans"/>
      <family val="2"/>
    </font>
    <font>
      <b/>
      <sz val="9"/>
      <color rgb="FF285C4D"/>
      <name val="Noto Sans"/>
      <family val="2"/>
    </font>
    <font>
      <b/>
      <sz val="9"/>
      <color theme="8" tint="-0.249977111117893"/>
      <name val="Noto Sans"/>
      <family val="2"/>
    </font>
    <font>
      <b/>
      <sz val="14"/>
      <color theme="3"/>
      <name val="Noto Sans"/>
      <family val="2"/>
    </font>
    <font>
      <sz val="11"/>
      <color theme="1"/>
      <name val="Calibri"/>
      <family val="2"/>
      <scheme val="minor"/>
    </font>
    <font>
      <b/>
      <sz val="12"/>
      <color theme="3"/>
      <name val="Noto Sans"/>
      <family val="2"/>
    </font>
  </fonts>
  <fills count="2">
    <fill>
      <patternFill patternType="none"/>
    </fill>
    <fill>
      <patternFill patternType="gray125"/>
    </fill>
  </fills>
  <borders count="3">
    <border>
      <left/>
      <right/>
      <top/>
      <bottom/>
      <diagonal/>
    </border>
    <border>
      <left style="thin">
        <color rgb="FFB38E5D"/>
      </left>
      <right style="thin">
        <color rgb="FFB38E5D"/>
      </right>
      <top style="thin">
        <color rgb="FFB38E5D"/>
      </top>
      <bottom style="thin">
        <color rgb="FFB38E5D"/>
      </bottom>
      <diagonal/>
    </border>
    <border>
      <left/>
      <right/>
      <top/>
      <bottom style="medium">
        <color theme="3"/>
      </bottom>
      <diagonal/>
    </border>
  </borders>
  <cellStyleXfs count="3">
    <xf numFmtId="0" fontId="0" fillId="0" borderId="0"/>
    <xf numFmtId="0" fontId="1" fillId="0" borderId="0" applyNumberFormat="0" applyFill="0" applyBorder="0" applyAlignment="0" applyProtection="0"/>
    <xf numFmtId="43" fontId="14" fillId="0" borderId="0" applyFont="0" applyFill="0" applyBorder="0" applyAlignment="0" applyProtection="0"/>
  </cellStyleXfs>
  <cellXfs count="28">
    <xf numFmtId="0" fontId="0" fillId="0" borderId="0" xfId="0"/>
    <xf numFmtId="0" fontId="2" fillId="0" borderId="0" xfId="0" applyFont="1" applyFill="1"/>
    <xf numFmtId="0" fontId="2" fillId="0" borderId="0" xfId="0" applyFont="1" applyFill="1" applyBorder="1"/>
    <xf numFmtId="0" fontId="6" fillId="0" borderId="0" xfId="0" applyFont="1" applyFill="1" applyBorder="1" applyAlignment="1">
      <alignment horizontal="right"/>
    </xf>
    <xf numFmtId="0" fontId="9" fillId="0" borderId="0" xfId="0" applyFont="1" applyFill="1" applyBorder="1" applyAlignment="1">
      <alignment horizontal="justify" vertical="center" wrapText="1"/>
    </xf>
    <xf numFmtId="0" fontId="10" fillId="0" borderId="1" xfId="0" applyFont="1" applyFill="1" applyBorder="1" applyAlignment="1">
      <alignment horizontal="center" vertical="center" wrapText="1"/>
    </xf>
    <xf numFmtId="0" fontId="7" fillId="0" borderId="1" xfId="1" applyFont="1" applyFill="1" applyBorder="1" applyAlignment="1">
      <alignment vertical="center" wrapText="1"/>
    </xf>
    <xf numFmtId="0" fontId="7" fillId="0" borderId="1" xfId="1" applyFont="1" applyFill="1" applyBorder="1" applyAlignment="1">
      <alignment vertical="center"/>
    </xf>
    <xf numFmtId="0" fontId="11" fillId="0" borderId="1" xfId="1" applyFont="1" applyFill="1" applyBorder="1" applyAlignment="1">
      <alignment vertical="center" wrapText="1"/>
    </xf>
    <xf numFmtId="0" fontId="10" fillId="0" borderId="1" xfId="1" applyFont="1" applyFill="1" applyBorder="1" applyAlignment="1">
      <alignment vertical="center" wrapText="1"/>
    </xf>
    <xf numFmtId="0" fontId="12" fillId="0" borderId="1" xfId="1" applyFont="1" applyFill="1" applyBorder="1" applyAlignment="1">
      <alignment vertical="center" wrapText="1"/>
    </xf>
    <xf numFmtId="0" fontId="2" fillId="0" borderId="2" xfId="0" applyFont="1" applyFill="1" applyBorder="1"/>
    <xf numFmtId="0" fontId="13" fillId="0" borderId="2" xfId="0" applyFont="1" applyFill="1" applyBorder="1" applyAlignment="1">
      <alignment horizontal="right"/>
    </xf>
    <xf numFmtId="0" fontId="5" fillId="0" borderId="2" xfId="0" applyFont="1" applyFill="1" applyBorder="1" applyAlignment="1">
      <alignment horizontal="right"/>
    </xf>
    <xf numFmtId="43" fontId="2" fillId="0" borderId="0" xfId="2" applyFont="1" applyFill="1"/>
    <xf numFmtId="0" fontId="9" fillId="0" borderId="0" xfId="0" applyFont="1" applyFill="1" applyBorder="1" applyAlignment="1">
      <alignment horizontal="justify" vertical="center" wrapText="1"/>
    </xf>
    <xf numFmtId="4" fontId="2" fillId="0" borderId="0" xfId="0" applyNumberFormat="1" applyFont="1" applyFill="1"/>
    <xf numFmtId="164" fontId="2" fillId="0" borderId="0" xfId="0" applyNumberFormat="1" applyFont="1" applyFill="1"/>
    <xf numFmtId="3" fontId="9" fillId="0" borderId="1" xfId="0" applyNumberFormat="1" applyFont="1" applyFill="1" applyBorder="1" applyAlignment="1">
      <alignment vertical="center"/>
    </xf>
    <xf numFmtId="3" fontId="11" fillId="0" borderId="1" xfId="0" applyNumberFormat="1" applyFont="1" applyFill="1" applyBorder="1" applyAlignment="1">
      <alignment vertical="center"/>
    </xf>
    <xf numFmtId="3" fontId="10" fillId="0" borderId="1" xfId="0" applyNumberFormat="1" applyFont="1" applyFill="1" applyBorder="1" applyAlignment="1">
      <alignment vertical="center"/>
    </xf>
    <xf numFmtId="41" fontId="9" fillId="0" borderId="1" xfId="0" applyNumberFormat="1" applyFont="1" applyFill="1" applyBorder="1" applyAlignment="1">
      <alignment vertical="center"/>
    </xf>
    <xf numFmtId="41" fontId="12" fillId="0" borderId="1" xfId="0" applyNumberFormat="1" applyFont="1" applyFill="1" applyBorder="1" applyAlignment="1">
      <alignment vertical="center"/>
    </xf>
    <xf numFmtId="0" fontId="9" fillId="0" borderId="0" xfId="0" applyFont="1" applyFill="1" applyBorder="1" applyAlignment="1">
      <alignment horizontal="justify" vertical="center" wrapText="1"/>
    </xf>
    <xf numFmtId="0" fontId="15" fillId="0" borderId="0" xfId="0" applyFont="1" applyFill="1" applyAlignment="1">
      <alignment horizontal="center" vertical="center"/>
    </xf>
    <xf numFmtId="0" fontId="3" fillId="0" borderId="0" xfId="0" applyFont="1" applyFill="1" applyAlignment="1">
      <alignment horizontal="center" vertical="center"/>
    </xf>
    <xf numFmtId="0" fontId="4" fillId="0" borderId="0" xfId="0" applyFont="1" applyFill="1" applyAlignment="1">
      <alignment horizontal="center" vertical="center"/>
    </xf>
    <xf numFmtId="0" fontId="7" fillId="0" borderId="0" xfId="0" applyFont="1" applyFill="1" applyBorder="1" applyAlignment="1">
      <alignment horizontal="justify" vertical="center" wrapText="1"/>
    </xf>
  </cellXfs>
  <cellStyles count="3">
    <cellStyle name="          _x000d__x000a_386grabber=VGA.3GR_x000d__x000a_" xfId="1"/>
    <cellStyle name="Millares" xfId="2"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10583</xdr:colOff>
      <xdr:row>1</xdr:row>
      <xdr:rowOff>0</xdr:rowOff>
    </xdr:from>
    <xdr:to>
      <xdr:col>4</xdr:col>
      <xdr:colOff>571500</xdr:colOff>
      <xdr:row>5</xdr:row>
      <xdr:rowOff>103891</xdr:rowOff>
    </xdr:to>
    <xdr:pic>
      <xdr:nvPicPr>
        <xdr:cNvPr id="8" name="Imagen 7" descr="http://www.dgis.salud.gob.mx/images/SALUD_DGIS_VERT-03.jpg"/>
        <xdr:cNvPicPr>
          <a:picLocks noChangeAspect="1" noChangeArrowheads="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9913" b="89913" l="8020" r="91913">
                      <a14:foregroundMark x1="42568" y1="67536" x2="91935" y2="67652"/>
                      <a14:foregroundMark x1="44346" y1="30841" x2="81160" y2="56928"/>
                      <a14:foregroundMark x1="81160" y1="27362" x2="43124" y2="54029"/>
                    </a14:backgroundRemoval>
                  </a14:imgEffect>
                </a14:imgLayer>
              </a14:imgProps>
            </a:ext>
            <a:ext uri="{28A0092B-C50C-407E-A947-70E740481C1C}">
              <a14:useLocalDpi xmlns:a14="http://schemas.microsoft.com/office/drawing/2010/main" val="0"/>
            </a:ext>
          </a:extLst>
        </a:blip>
        <a:srcRect l="7462" t="8850" r="6392" b="9734"/>
        <a:stretch/>
      </xdr:blipFill>
      <xdr:spPr bwMode="auto">
        <a:xfrm>
          <a:off x="328083" y="105833"/>
          <a:ext cx="3884084" cy="1268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4T">
      <a:dk1>
        <a:sysClr val="windowText" lastClr="000000"/>
      </a:dk1>
      <a:lt1>
        <a:sysClr val="window" lastClr="FFFFFF"/>
      </a:lt1>
      <a:dk2>
        <a:srgbClr val="621132"/>
      </a:dk2>
      <a:lt2>
        <a:srgbClr val="D4C19C"/>
      </a:lt2>
      <a:accent1>
        <a:srgbClr val="285C4D"/>
      </a:accent1>
      <a:accent2>
        <a:srgbClr val="9D2449"/>
      </a:accent2>
      <a:accent3>
        <a:srgbClr val="13322B"/>
      </a:accent3>
      <a:accent4>
        <a:srgbClr val="4E232E"/>
      </a:accent4>
      <a:accent5>
        <a:srgbClr val="D4C19C"/>
      </a:accent5>
      <a:accent6>
        <a:srgbClr val="56242A"/>
      </a:accent6>
      <a:hlink>
        <a:srgbClr val="997200"/>
      </a:hlink>
      <a:folHlink>
        <a:srgbClr val="0033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B1:U43"/>
  <sheetViews>
    <sheetView showGridLines="0" tabSelected="1" view="pageBreakPreview" zoomScale="90" zoomScaleNormal="100" zoomScaleSheetLayoutView="90" workbookViewId="0">
      <selection activeCell="C26" sqref="C26"/>
    </sheetView>
  </sheetViews>
  <sheetFormatPr baseColWidth="10" defaultColWidth="11.42578125" defaultRowHeight="19.5" x14ac:dyDescent="0.45"/>
  <cols>
    <col min="1" max="1" width="4.7109375" style="1" customWidth="1"/>
    <col min="2" max="2" width="28.28515625" style="1" customWidth="1"/>
    <col min="3" max="22" width="10.7109375" style="1" customWidth="1"/>
    <col min="23" max="16384" width="11.42578125" style="1"/>
  </cols>
  <sheetData>
    <row r="1" spans="2:21" ht="8.25" customHeight="1" x14ac:dyDescent="0.45"/>
    <row r="2" spans="2:21" ht="25.15" customHeight="1" x14ac:dyDescent="0.45">
      <c r="F2" s="25" t="s">
        <v>0</v>
      </c>
      <c r="G2" s="25"/>
      <c r="H2" s="25"/>
      <c r="I2" s="25"/>
      <c r="J2" s="25"/>
      <c r="K2" s="25"/>
    </row>
    <row r="3" spans="2:21" ht="25.15" customHeight="1" x14ac:dyDescent="0.45">
      <c r="F3" s="25" t="s">
        <v>1</v>
      </c>
      <c r="G3" s="25"/>
      <c r="H3" s="25"/>
      <c r="I3" s="25"/>
      <c r="J3" s="25"/>
      <c r="K3" s="25"/>
    </row>
    <row r="4" spans="2:21" ht="22.9" customHeight="1" x14ac:dyDescent="0.45">
      <c r="B4" s="2"/>
      <c r="F4" s="26" t="s">
        <v>2</v>
      </c>
      <c r="G4" s="26"/>
      <c r="H4" s="26"/>
      <c r="I4" s="26"/>
      <c r="J4" s="26"/>
      <c r="K4" s="26"/>
    </row>
    <row r="6" spans="2:21" ht="24.75" thickBot="1" x14ac:dyDescent="0.6">
      <c r="E6" s="11"/>
      <c r="F6" s="11"/>
      <c r="G6" s="11"/>
      <c r="H6" s="12" t="s">
        <v>3</v>
      </c>
      <c r="I6" s="11"/>
      <c r="J6" s="13"/>
      <c r="K6" s="13"/>
      <c r="L6" s="13"/>
    </row>
    <row r="7" spans="2:21" ht="15.75" customHeight="1" x14ac:dyDescent="0.55000000000000004">
      <c r="H7" s="2"/>
      <c r="I7" s="2"/>
      <c r="J7" s="2"/>
      <c r="K7" s="3"/>
    </row>
    <row r="8" spans="2:21" ht="15" customHeight="1" x14ac:dyDescent="0.55000000000000004">
      <c r="H8" s="2"/>
      <c r="I8" s="2"/>
      <c r="J8" s="2"/>
      <c r="K8" s="3"/>
    </row>
    <row r="9" spans="2:21" ht="45" customHeight="1" x14ac:dyDescent="0.45">
      <c r="B9" s="27" t="s">
        <v>24</v>
      </c>
      <c r="C9" s="27"/>
      <c r="D9" s="27"/>
      <c r="E9" s="27"/>
      <c r="F9" s="27"/>
      <c r="G9" s="27"/>
      <c r="H9" s="27"/>
      <c r="I9" s="27"/>
      <c r="J9" s="27"/>
      <c r="K9" s="27"/>
      <c r="L9" s="27"/>
      <c r="M9" s="27"/>
      <c r="N9" s="27"/>
      <c r="O9" s="27"/>
      <c r="P9" s="27"/>
      <c r="Q9" s="27"/>
      <c r="R9" s="27"/>
      <c r="S9" s="27"/>
      <c r="T9" s="27"/>
    </row>
    <row r="10" spans="2:21" ht="238.5" customHeight="1" x14ac:dyDescent="0.45">
      <c r="B10" s="23" t="s">
        <v>27</v>
      </c>
      <c r="C10" s="23"/>
      <c r="D10" s="23"/>
      <c r="E10" s="23"/>
      <c r="F10" s="23"/>
      <c r="G10" s="23"/>
      <c r="H10" s="23"/>
      <c r="I10" s="23"/>
      <c r="J10" s="23"/>
      <c r="K10" s="23"/>
      <c r="L10" s="23"/>
      <c r="M10" s="23"/>
      <c r="N10" s="23"/>
      <c r="O10" s="23"/>
      <c r="P10" s="23"/>
      <c r="Q10" s="23"/>
      <c r="R10" s="23"/>
      <c r="S10" s="23"/>
      <c r="T10" s="23"/>
    </row>
    <row r="11" spans="2:21" ht="83.25" customHeight="1" x14ac:dyDescent="0.45">
      <c r="B11" s="23" t="s">
        <v>26</v>
      </c>
      <c r="C11" s="23"/>
      <c r="D11" s="23"/>
      <c r="E11" s="23"/>
      <c r="F11" s="23"/>
      <c r="G11" s="23"/>
      <c r="H11" s="23"/>
      <c r="I11" s="23"/>
      <c r="J11" s="23"/>
      <c r="K11" s="23"/>
      <c r="L11" s="23"/>
      <c r="M11" s="23"/>
      <c r="N11" s="23"/>
      <c r="O11" s="23"/>
      <c r="P11" s="23"/>
      <c r="Q11" s="23"/>
      <c r="R11" s="23"/>
      <c r="S11" s="23"/>
      <c r="T11" s="23"/>
    </row>
    <row r="12" spans="2:21" ht="31.5" customHeight="1" x14ac:dyDescent="0.45">
      <c r="B12" s="23" t="s">
        <v>28</v>
      </c>
      <c r="C12" s="23"/>
      <c r="D12" s="23"/>
      <c r="E12" s="23"/>
      <c r="F12" s="23"/>
      <c r="G12" s="23"/>
      <c r="H12" s="23"/>
      <c r="I12" s="23"/>
      <c r="J12" s="23"/>
      <c r="K12" s="23"/>
      <c r="L12" s="23"/>
      <c r="M12" s="23"/>
      <c r="N12" s="23"/>
      <c r="O12" s="23"/>
      <c r="P12" s="23"/>
      <c r="Q12" s="23"/>
      <c r="R12" s="23"/>
      <c r="S12" s="23"/>
      <c r="T12" s="23"/>
    </row>
    <row r="13" spans="2:21" ht="14.45" customHeight="1" x14ac:dyDescent="0.45">
      <c r="B13" s="4"/>
      <c r="C13" s="4"/>
      <c r="D13" s="4"/>
      <c r="E13" s="4"/>
      <c r="F13" s="4"/>
      <c r="G13" s="4"/>
      <c r="H13" s="4"/>
      <c r="I13" s="4"/>
      <c r="J13" s="4"/>
      <c r="K13" s="4"/>
      <c r="L13" s="4"/>
      <c r="M13" s="4"/>
    </row>
    <row r="14" spans="2:21" ht="20.25" customHeight="1" x14ac:dyDescent="0.45">
      <c r="B14" s="24" t="s">
        <v>29</v>
      </c>
      <c r="C14" s="24"/>
      <c r="D14" s="24"/>
      <c r="E14" s="24"/>
      <c r="F14" s="24"/>
      <c r="G14" s="24"/>
      <c r="H14" s="24"/>
      <c r="I14" s="24"/>
      <c r="J14" s="24"/>
      <c r="K14" s="24"/>
      <c r="L14" s="24"/>
      <c r="M14" s="24"/>
      <c r="N14" s="24"/>
      <c r="O14" s="24"/>
      <c r="P14" s="24"/>
      <c r="Q14" s="24"/>
      <c r="R14" s="24"/>
      <c r="S14" s="24"/>
      <c r="T14" s="24"/>
    </row>
    <row r="15" spans="2:21" ht="14.45" customHeight="1" x14ac:dyDescent="0.45">
      <c r="B15" s="4"/>
      <c r="C15" s="4"/>
      <c r="D15" s="4"/>
      <c r="E15" s="4"/>
      <c r="F15" s="4"/>
      <c r="G15" s="4"/>
      <c r="H15" s="4"/>
      <c r="I15" s="4"/>
      <c r="J15" s="4"/>
      <c r="K15" s="4"/>
    </row>
    <row r="16" spans="2:21" ht="14.45" customHeight="1" x14ac:dyDescent="0.45">
      <c r="B16" s="5" t="s">
        <v>4</v>
      </c>
      <c r="C16" s="5">
        <v>2006</v>
      </c>
      <c r="D16" s="5">
        <v>2007</v>
      </c>
      <c r="E16" s="5">
        <v>2008</v>
      </c>
      <c r="F16" s="5">
        <v>2009</v>
      </c>
      <c r="G16" s="5">
        <v>2010</v>
      </c>
      <c r="H16" s="5">
        <v>2011</v>
      </c>
      <c r="I16" s="5">
        <v>2012</v>
      </c>
      <c r="J16" s="5">
        <v>2013</v>
      </c>
      <c r="K16" s="5">
        <v>2014</v>
      </c>
      <c r="L16" s="5">
        <v>2015</v>
      </c>
      <c r="M16" s="5">
        <v>2016</v>
      </c>
      <c r="N16" s="5">
        <v>2017</v>
      </c>
      <c r="O16" s="5">
        <v>2018</v>
      </c>
      <c r="P16" s="5">
        <v>2019</v>
      </c>
      <c r="Q16" s="5">
        <v>2020</v>
      </c>
      <c r="R16" s="5">
        <v>2021</v>
      </c>
      <c r="S16" s="5">
        <v>2022</v>
      </c>
      <c r="T16" s="5">
        <v>2023</v>
      </c>
      <c r="U16" s="5">
        <v>2024</v>
      </c>
    </row>
    <row r="17" spans="2:21" ht="28.9" customHeight="1" x14ac:dyDescent="0.45">
      <c r="B17" s="6" t="s">
        <v>5</v>
      </c>
      <c r="C17" s="18">
        <v>41547.711739999992</v>
      </c>
      <c r="D17" s="18">
        <v>53144.03198</v>
      </c>
      <c r="E17" s="18">
        <v>69743.470149999994</v>
      </c>
      <c r="F17" s="18">
        <v>80959.255759999971</v>
      </c>
      <c r="G17" s="18">
        <v>86765.574209999992</v>
      </c>
      <c r="H17" s="18">
        <v>99806.461599999966</v>
      </c>
      <c r="I17" s="18">
        <v>112737.33254</v>
      </c>
      <c r="J17" s="18">
        <v>118893.91000000002</v>
      </c>
      <c r="K17" s="18">
        <v>120827.79659999999</v>
      </c>
      <c r="L17" s="18">
        <v>121772.35445999999</v>
      </c>
      <c r="M17" s="18">
        <v>124340.96104000002</v>
      </c>
      <c r="N17" s="18">
        <v>132186.17548999997</v>
      </c>
      <c r="O17" s="18">
        <v>123534.13504999998</v>
      </c>
      <c r="P17" s="18">
        <v>122794.75133</v>
      </c>
      <c r="Q17" s="18">
        <v>157496.97483999998</v>
      </c>
      <c r="R17" s="18">
        <v>175004.41025000002</v>
      </c>
      <c r="S17" s="18">
        <v>182681.07426999992</v>
      </c>
      <c r="T17" s="18">
        <v>105425.43075</v>
      </c>
      <c r="U17" s="18">
        <v>67544.359899999981</v>
      </c>
    </row>
    <row r="18" spans="2:21" ht="14.45" customHeight="1" x14ac:dyDescent="0.45">
      <c r="B18" s="6" t="s">
        <v>6</v>
      </c>
      <c r="C18" s="18">
        <v>41751.438199999997</v>
      </c>
      <c r="D18" s="18">
        <v>43500.474230000007</v>
      </c>
      <c r="E18" s="18">
        <v>48480.421399999999</v>
      </c>
      <c r="F18" s="18">
        <v>50416.626569999993</v>
      </c>
      <c r="G18" s="18">
        <v>51890.067270000014</v>
      </c>
      <c r="H18" s="18">
        <v>58475.705159999998</v>
      </c>
      <c r="I18" s="18">
        <v>64793.13366</v>
      </c>
      <c r="J18" s="18">
        <v>67679.091540000009</v>
      </c>
      <c r="K18" s="18">
        <v>73094.014279999989</v>
      </c>
      <c r="L18" s="18">
        <v>80072.478310000006</v>
      </c>
      <c r="M18" s="18">
        <v>85647.741849999991</v>
      </c>
      <c r="N18" s="18">
        <v>91775.820760000002</v>
      </c>
      <c r="O18" s="18">
        <v>94412.202039999989</v>
      </c>
      <c r="P18" s="18">
        <v>98817.41406000001</v>
      </c>
      <c r="Q18" s="18">
        <v>104434.7862</v>
      </c>
      <c r="R18" s="18">
        <v>109871.80572999998</v>
      </c>
      <c r="S18" s="18">
        <v>117656.17242999999</v>
      </c>
      <c r="T18" s="18">
        <v>126227.20516999997</v>
      </c>
      <c r="U18" s="18">
        <v>96653.566690000036</v>
      </c>
    </row>
    <row r="19" spans="2:21" ht="28.9" customHeight="1" x14ac:dyDescent="0.45">
      <c r="B19" s="6" t="s">
        <v>25</v>
      </c>
      <c r="C19" s="18">
        <v>5716.2385999999988</v>
      </c>
      <c r="D19" s="18">
        <v>5790.113800000001</v>
      </c>
      <c r="E19" s="18">
        <v>6370.7229000000007</v>
      </c>
      <c r="F19" s="18">
        <v>7624.4778500000011</v>
      </c>
      <c r="G19" s="18">
        <v>7971.6859700000005</v>
      </c>
      <c r="H19" s="18">
        <v>8704.0614299999997</v>
      </c>
      <c r="I19" s="18">
        <v>9714.7957200000001</v>
      </c>
      <c r="J19" s="18">
        <v>9881.767319999999</v>
      </c>
      <c r="K19" s="18">
        <v>10486.081540000001</v>
      </c>
      <c r="L19" s="18">
        <v>11268.853949999999</v>
      </c>
      <c r="M19" s="18">
        <v>11746.767829999999</v>
      </c>
      <c r="N19" s="18">
        <v>12768.760699999999</v>
      </c>
      <c r="O19" s="18">
        <v>13338.047960000002</v>
      </c>
      <c r="P19" s="18">
        <v>13261.424129999999</v>
      </c>
      <c r="Q19" s="18">
        <v>16562.043379999999</v>
      </c>
      <c r="R19" s="18">
        <v>13615.812019999999</v>
      </c>
      <c r="S19" s="18">
        <v>20358.259269999999</v>
      </c>
      <c r="T19" s="18">
        <v>20628.279739999998</v>
      </c>
      <c r="U19" s="18">
        <v>19584.674190000002</v>
      </c>
    </row>
    <row r="20" spans="2:21" ht="28.9" customHeight="1" x14ac:dyDescent="0.45">
      <c r="B20" s="6" t="s">
        <v>7</v>
      </c>
      <c r="C20" s="18">
        <v>2326.0558799999999</v>
      </c>
      <c r="D20" s="18">
        <v>3011.3079900000002</v>
      </c>
      <c r="E20" s="18">
        <v>3330.0333799999999</v>
      </c>
      <c r="F20" s="18">
        <v>3995.4391299999997</v>
      </c>
      <c r="G20" s="18">
        <v>5099.7575700000007</v>
      </c>
      <c r="H20" s="18">
        <v>5592.8478299999997</v>
      </c>
      <c r="I20" s="18">
        <v>7117.5140000000001</v>
      </c>
      <c r="J20" s="18">
        <v>5870.1438399999997</v>
      </c>
      <c r="K20" s="18">
        <v>5723.8210999999992</v>
      </c>
      <c r="L20" s="18">
        <v>5884.6007</v>
      </c>
      <c r="M20" s="18">
        <v>6391.3165799999997</v>
      </c>
      <c r="N20" s="18">
        <v>7103.1929700000001</v>
      </c>
      <c r="O20" s="18">
        <v>7719.8094299999993</v>
      </c>
      <c r="P20" s="18">
        <v>6978.7698200000004</v>
      </c>
      <c r="Q20" s="18">
        <v>6585.6092900000003</v>
      </c>
      <c r="R20" s="18">
        <v>7144.1390700000002</v>
      </c>
      <c r="S20" s="18">
        <v>8235.0037300000004</v>
      </c>
      <c r="T20" s="18">
        <v>7971.6652300000005</v>
      </c>
      <c r="U20" s="18">
        <v>8934.7244199999022</v>
      </c>
    </row>
    <row r="21" spans="2:21" ht="28.9" customHeight="1" x14ac:dyDescent="0.45">
      <c r="B21" s="6" t="s">
        <v>8</v>
      </c>
      <c r="C21" s="18">
        <v>612.51265000000001</v>
      </c>
      <c r="D21" s="18">
        <v>1342.0081599999999</v>
      </c>
      <c r="E21" s="18">
        <v>1061.6355000000001</v>
      </c>
      <c r="F21" s="18">
        <v>1338.87672</v>
      </c>
      <c r="G21" s="18">
        <v>1480.9231399999999</v>
      </c>
      <c r="H21" s="18">
        <v>1684.06051</v>
      </c>
      <c r="I21" s="18">
        <v>1727.22054</v>
      </c>
      <c r="J21" s="18">
        <v>1788.8928799999999</v>
      </c>
      <c r="K21" s="18">
        <v>1881.3479600000001</v>
      </c>
      <c r="L21" s="18">
        <v>2104.64806</v>
      </c>
      <c r="M21" s="18">
        <v>2200.1938500000001</v>
      </c>
      <c r="N21" s="18">
        <v>2224.2057100000002</v>
      </c>
      <c r="O21" s="18">
        <v>2413.9794400000001</v>
      </c>
      <c r="P21" s="18">
        <v>2835.85736</v>
      </c>
      <c r="Q21" s="18">
        <v>3305.5524500000001</v>
      </c>
      <c r="R21" s="18">
        <v>3863.4459200000001</v>
      </c>
      <c r="S21" s="18">
        <v>3739.25198</v>
      </c>
      <c r="T21" s="18">
        <v>4521.3623399999997</v>
      </c>
      <c r="U21" s="18">
        <v>6161.4272540000002</v>
      </c>
    </row>
    <row r="22" spans="2:21" ht="14.45" customHeight="1" x14ac:dyDescent="0.45">
      <c r="B22" s="7" t="s">
        <v>9</v>
      </c>
      <c r="C22" s="18">
        <v>16875.321100000001</v>
      </c>
      <c r="D22" s="18">
        <v>19334.684499999996</v>
      </c>
      <c r="E22" s="18">
        <v>24715.075000000004</v>
      </c>
      <c r="F22" s="18">
        <v>27988.797119999999</v>
      </c>
      <c r="G22" s="18">
        <v>33711.262569999999</v>
      </c>
      <c r="H22" s="18">
        <v>26699.53443</v>
      </c>
      <c r="I22" s="18">
        <v>25522.548669999996</v>
      </c>
      <c r="J22" s="18">
        <v>28217.526870000002</v>
      </c>
      <c r="K22" s="18">
        <v>31962.685519999999</v>
      </c>
      <c r="L22" s="18">
        <v>41395.647319999996</v>
      </c>
      <c r="M22" s="18">
        <v>41213.166980000002</v>
      </c>
      <c r="N22" s="18">
        <v>43651.170739999994</v>
      </c>
      <c r="O22" s="18">
        <v>57104.04813000001</v>
      </c>
      <c r="P22" s="18">
        <v>60706.378820000005</v>
      </c>
      <c r="Q22" s="18">
        <v>84964.495760000005</v>
      </c>
      <c r="R22" s="18">
        <v>64891.604679999997</v>
      </c>
      <c r="S22" s="18">
        <v>78571.127230000013</v>
      </c>
      <c r="T22" s="18">
        <v>79829.838220000005</v>
      </c>
      <c r="U22" s="18">
        <v>60323.407030000002</v>
      </c>
    </row>
    <row r="23" spans="2:21" ht="14.45" customHeight="1" x14ac:dyDescent="0.45">
      <c r="B23" s="7" t="s">
        <v>10</v>
      </c>
      <c r="C23" s="21">
        <v>0</v>
      </c>
      <c r="D23" s="21">
        <v>0</v>
      </c>
      <c r="E23" s="21">
        <v>0</v>
      </c>
      <c r="F23" s="21">
        <v>0</v>
      </c>
      <c r="G23" s="21">
        <v>0</v>
      </c>
      <c r="H23" s="21">
        <v>0</v>
      </c>
      <c r="I23" s="21">
        <v>0</v>
      </c>
      <c r="J23" s="21">
        <v>0</v>
      </c>
      <c r="K23" s="21">
        <v>0</v>
      </c>
      <c r="L23" s="21">
        <v>0</v>
      </c>
      <c r="M23" s="21">
        <v>0</v>
      </c>
      <c r="N23" s="21">
        <v>0</v>
      </c>
      <c r="O23" s="21">
        <v>0</v>
      </c>
      <c r="P23" s="21">
        <v>0</v>
      </c>
      <c r="Q23" s="18">
        <v>6414.7324000000008</v>
      </c>
      <c r="R23" s="18">
        <v>6465.3553399999992</v>
      </c>
      <c r="S23" s="18">
        <v>9475.9502599999978</v>
      </c>
      <c r="T23" s="18">
        <v>6752.5542999999998</v>
      </c>
      <c r="U23" s="18">
        <v>12110.73841</v>
      </c>
    </row>
    <row r="24" spans="2:21" ht="14.45" customHeight="1" x14ac:dyDescent="0.45">
      <c r="B24" s="7" t="s">
        <v>11</v>
      </c>
      <c r="C24" s="21">
        <v>0</v>
      </c>
      <c r="D24" s="21">
        <v>0</v>
      </c>
      <c r="E24" s="21">
        <v>0</v>
      </c>
      <c r="F24" s="21">
        <v>0</v>
      </c>
      <c r="G24" s="21">
        <v>0</v>
      </c>
      <c r="H24" s="21">
        <v>0</v>
      </c>
      <c r="I24" s="21">
        <v>0</v>
      </c>
      <c r="J24" s="21">
        <v>0</v>
      </c>
      <c r="K24" s="21">
        <v>0</v>
      </c>
      <c r="L24" s="21">
        <v>0</v>
      </c>
      <c r="M24" s="21">
        <v>0</v>
      </c>
      <c r="N24" s="21">
        <v>0</v>
      </c>
      <c r="O24" s="21">
        <v>0</v>
      </c>
      <c r="P24" s="21">
        <v>0</v>
      </c>
      <c r="Q24" s="18">
        <v>280.46978000000001</v>
      </c>
      <c r="R24" s="18">
        <v>726.15208000000007</v>
      </c>
      <c r="S24" s="18">
        <v>909.72305999999992</v>
      </c>
      <c r="T24" s="18">
        <v>1594.4590299999998</v>
      </c>
      <c r="U24" s="18">
        <v>1969.3610900000006</v>
      </c>
    </row>
    <row r="25" spans="2:21" ht="30" x14ac:dyDescent="0.45">
      <c r="B25" s="6" t="s">
        <v>12</v>
      </c>
      <c r="C25" s="21">
        <v>0</v>
      </c>
      <c r="D25" s="21">
        <v>0</v>
      </c>
      <c r="E25" s="21">
        <v>0</v>
      </c>
      <c r="F25" s="21">
        <v>0</v>
      </c>
      <c r="G25" s="21">
        <v>0</v>
      </c>
      <c r="H25" s="21">
        <v>0</v>
      </c>
      <c r="I25" s="21">
        <v>0</v>
      </c>
      <c r="J25" s="21">
        <v>0</v>
      </c>
      <c r="K25" s="21">
        <v>0</v>
      </c>
      <c r="L25" s="21">
        <v>0</v>
      </c>
      <c r="M25" s="21">
        <v>0</v>
      </c>
      <c r="N25" s="21">
        <v>0</v>
      </c>
      <c r="O25" s="21">
        <v>0</v>
      </c>
      <c r="P25" s="21">
        <v>0</v>
      </c>
      <c r="Q25" s="18">
        <v>2025.0601399999998</v>
      </c>
      <c r="R25" s="18">
        <v>1410.84311</v>
      </c>
      <c r="S25" s="18">
        <v>2093.8826799999997</v>
      </c>
      <c r="T25" s="18">
        <v>1897.2766100000001</v>
      </c>
      <c r="U25" s="18">
        <v>1949.6436100000001</v>
      </c>
    </row>
    <row r="26" spans="2:21" ht="30" x14ac:dyDescent="0.45">
      <c r="B26" s="6" t="s">
        <v>13</v>
      </c>
      <c r="C26" s="21">
        <v>0</v>
      </c>
      <c r="D26" s="21">
        <v>0</v>
      </c>
      <c r="E26" s="21">
        <v>0</v>
      </c>
      <c r="F26" s="21">
        <v>0</v>
      </c>
      <c r="G26" s="21">
        <v>0</v>
      </c>
      <c r="H26" s="21">
        <v>0</v>
      </c>
      <c r="I26" s="21">
        <v>0</v>
      </c>
      <c r="J26" s="21">
        <v>0</v>
      </c>
      <c r="K26" s="21">
        <v>0</v>
      </c>
      <c r="L26" s="21">
        <v>0</v>
      </c>
      <c r="M26" s="21">
        <v>0</v>
      </c>
      <c r="N26" s="21">
        <v>0</v>
      </c>
      <c r="O26" s="21">
        <v>0</v>
      </c>
      <c r="P26" s="21">
        <v>0</v>
      </c>
      <c r="Q26" s="18">
        <v>2000</v>
      </c>
      <c r="R26" s="21">
        <v>0</v>
      </c>
      <c r="S26" s="21">
        <v>0</v>
      </c>
      <c r="T26" s="21">
        <v>0</v>
      </c>
      <c r="U26" s="21">
        <v>0</v>
      </c>
    </row>
    <row r="27" spans="2:21" ht="30" x14ac:dyDescent="0.45">
      <c r="B27" s="6" t="s">
        <v>22</v>
      </c>
      <c r="C27" s="21">
        <v>0</v>
      </c>
      <c r="D27" s="21">
        <v>0</v>
      </c>
      <c r="E27" s="21">
        <v>0</v>
      </c>
      <c r="F27" s="21">
        <v>0</v>
      </c>
      <c r="G27" s="21">
        <v>0</v>
      </c>
      <c r="H27" s="21">
        <v>0</v>
      </c>
      <c r="I27" s="21">
        <v>0</v>
      </c>
      <c r="J27" s="21">
        <v>0</v>
      </c>
      <c r="K27" s="21">
        <v>0</v>
      </c>
      <c r="L27" s="21">
        <v>0</v>
      </c>
      <c r="M27" s="21">
        <v>0</v>
      </c>
      <c r="N27" s="21">
        <v>0</v>
      </c>
      <c r="O27" s="21">
        <v>0</v>
      </c>
      <c r="P27" s="21">
        <v>0</v>
      </c>
      <c r="Q27" s="21">
        <v>0</v>
      </c>
      <c r="R27" s="21">
        <v>0</v>
      </c>
      <c r="S27" s="21">
        <v>0</v>
      </c>
      <c r="T27" s="18">
        <v>17456.27752</v>
      </c>
      <c r="U27" s="18">
        <v>39847.774400000017</v>
      </c>
    </row>
    <row r="28" spans="2:21" ht="30" x14ac:dyDescent="0.45">
      <c r="B28" s="6" t="s">
        <v>23</v>
      </c>
      <c r="C28" s="21">
        <v>0</v>
      </c>
      <c r="D28" s="21">
        <v>0</v>
      </c>
      <c r="E28" s="21">
        <v>0</v>
      </c>
      <c r="F28" s="21">
        <v>0</v>
      </c>
      <c r="G28" s="21">
        <v>0</v>
      </c>
      <c r="H28" s="21">
        <v>0</v>
      </c>
      <c r="I28" s="21">
        <v>0</v>
      </c>
      <c r="J28" s="21">
        <v>0</v>
      </c>
      <c r="K28" s="21">
        <v>0</v>
      </c>
      <c r="L28" s="21">
        <v>0</v>
      </c>
      <c r="M28" s="21">
        <v>0</v>
      </c>
      <c r="N28" s="21">
        <v>0</v>
      </c>
      <c r="O28" s="21">
        <v>0</v>
      </c>
      <c r="P28" s="21">
        <v>0</v>
      </c>
      <c r="Q28" s="21">
        <v>0</v>
      </c>
      <c r="R28" s="21">
        <v>0</v>
      </c>
      <c r="S28" s="21">
        <v>0</v>
      </c>
      <c r="T28" s="18">
        <v>49054.681530000009</v>
      </c>
      <c r="U28" s="18">
        <v>169169.45094000004</v>
      </c>
    </row>
    <row r="29" spans="2:21" ht="28.9" customHeight="1" x14ac:dyDescent="0.45">
      <c r="B29" s="8" t="s">
        <v>14</v>
      </c>
      <c r="C29" s="19">
        <f>SUM(C17:C28)</f>
        <v>108829.27816999999</v>
      </c>
      <c r="D29" s="19">
        <f>SUM(D17:D28)</f>
        <v>126122.62066000002</v>
      </c>
      <c r="E29" s="19">
        <f t="shared" ref="E29:U29" si="0">SUM(E17:E28)</f>
        <v>153701.35832999999</v>
      </c>
      <c r="F29" s="19">
        <f t="shared" si="0"/>
        <v>172323.47314999998</v>
      </c>
      <c r="G29" s="19">
        <f t="shared" si="0"/>
        <v>186919.27072999996</v>
      </c>
      <c r="H29" s="19">
        <f t="shared" si="0"/>
        <v>200962.67095999999</v>
      </c>
      <c r="I29" s="19">
        <f t="shared" si="0"/>
        <v>221612.54512999998</v>
      </c>
      <c r="J29" s="19">
        <f t="shared" si="0"/>
        <v>232331.33245000002</v>
      </c>
      <c r="K29" s="19">
        <f t="shared" si="0"/>
        <v>243975.747</v>
      </c>
      <c r="L29" s="19">
        <f t="shared" si="0"/>
        <v>262498.58279999997</v>
      </c>
      <c r="M29" s="19">
        <f t="shared" si="0"/>
        <v>271540.14813000005</v>
      </c>
      <c r="N29" s="19">
        <f t="shared" si="0"/>
        <v>289709.32636999997</v>
      </c>
      <c r="O29" s="19">
        <f t="shared" si="0"/>
        <v>298522.22204999998</v>
      </c>
      <c r="P29" s="19">
        <f t="shared" si="0"/>
        <v>305394.59551999997</v>
      </c>
      <c r="Q29" s="19">
        <f t="shared" si="0"/>
        <v>384069.72424000001</v>
      </c>
      <c r="R29" s="19">
        <f t="shared" si="0"/>
        <v>382993.56820000004</v>
      </c>
      <c r="S29" s="19">
        <f t="shared" si="0"/>
        <v>423720.44490999985</v>
      </c>
      <c r="T29" s="19">
        <f t="shared" si="0"/>
        <v>421359.03044000006</v>
      </c>
      <c r="U29" s="19">
        <f t="shared" si="0"/>
        <v>484249.12793399999</v>
      </c>
    </row>
    <row r="30" spans="2:21" ht="14.45" customHeight="1" x14ac:dyDescent="0.45">
      <c r="B30" s="7" t="s">
        <v>15</v>
      </c>
      <c r="C30" s="18">
        <v>128716.22675</v>
      </c>
      <c r="D30" s="18">
        <v>135349.63</v>
      </c>
      <c r="E30" s="18">
        <v>141810.79580000005</v>
      </c>
      <c r="F30" s="18">
        <v>155180.62618000005</v>
      </c>
      <c r="G30" s="18">
        <v>173928.59439999994</v>
      </c>
      <c r="H30" s="18">
        <v>183571.98558999994</v>
      </c>
      <c r="I30" s="18">
        <v>199554.80405000001</v>
      </c>
      <c r="J30" s="18">
        <v>208586.38092000003</v>
      </c>
      <c r="K30" s="18">
        <v>199593.09377000004</v>
      </c>
      <c r="L30" s="18">
        <v>220226.19814999998</v>
      </c>
      <c r="M30" s="18">
        <v>229477.81077000001</v>
      </c>
      <c r="N30" s="18">
        <v>244856.02680999998</v>
      </c>
      <c r="O30" s="18">
        <v>261381.30793000001</v>
      </c>
      <c r="P30" s="18">
        <v>268516.32824</v>
      </c>
      <c r="Q30" s="18">
        <v>311052.82413000002</v>
      </c>
      <c r="R30" s="18">
        <v>334812.39346999995</v>
      </c>
      <c r="S30" s="18">
        <v>362724.37714999996</v>
      </c>
      <c r="T30" s="18">
        <v>412126.55261999986</v>
      </c>
      <c r="U30" s="18">
        <v>472506.73718000005</v>
      </c>
    </row>
    <row r="31" spans="2:21" ht="14.45" customHeight="1" x14ac:dyDescent="0.45">
      <c r="B31" s="7" t="s">
        <v>16</v>
      </c>
      <c r="C31" s="18">
        <v>22947.971409999995</v>
      </c>
      <c r="D31" s="18">
        <v>29912.803600000003</v>
      </c>
      <c r="E31" s="18">
        <v>32005.3279</v>
      </c>
      <c r="F31" s="18">
        <v>35177.679019999996</v>
      </c>
      <c r="G31" s="18">
        <v>39511.119399999996</v>
      </c>
      <c r="H31" s="18">
        <v>48089.067540000004</v>
      </c>
      <c r="I31" s="18">
        <v>46155.538860000001</v>
      </c>
      <c r="J31" s="18">
        <v>49832.292059999985</v>
      </c>
      <c r="K31" s="18">
        <v>47308.185469999989</v>
      </c>
      <c r="L31" s="18">
        <v>52511.354930000009</v>
      </c>
      <c r="M31" s="18">
        <v>52852.726469999994</v>
      </c>
      <c r="N31" s="18">
        <v>52176.601320000016</v>
      </c>
      <c r="O31" s="18">
        <v>55028.93361</v>
      </c>
      <c r="P31" s="18">
        <v>63030.108400000005</v>
      </c>
      <c r="Q31" s="18">
        <v>69943.169519999996</v>
      </c>
      <c r="R31" s="18">
        <v>48827.541129999998</v>
      </c>
      <c r="S31" s="18">
        <v>78898.383820000003</v>
      </c>
      <c r="T31" s="18">
        <v>81427.700020000004</v>
      </c>
      <c r="U31" s="18">
        <v>93088.08988</v>
      </c>
    </row>
    <row r="32" spans="2:21" ht="14.45" customHeight="1" x14ac:dyDescent="0.45">
      <c r="B32" s="7" t="s">
        <v>17</v>
      </c>
      <c r="C32" s="18">
        <v>8321.7724799999996</v>
      </c>
      <c r="D32" s="18">
        <v>9133.8468999999986</v>
      </c>
      <c r="E32" s="18">
        <v>10291.5141</v>
      </c>
      <c r="F32" s="18">
        <v>10550.814179999999</v>
      </c>
      <c r="G32" s="18">
        <v>10626.031379999999</v>
      </c>
      <c r="H32" s="18">
        <v>11600.119980000001</v>
      </c>
      <c r="I32" s="18">
        <v>12431.14782</v>
      </c>
      <c r="J32" s="18">
        <v>12866.306490000001</v>
      </c>
      <c r="K32" s="18">
        <v>12903.639799999999</v>
      </c>
      <c r="L32" s="18">
        <v>13583.59836</v>
      </c>
      <c r="M32" s="18">
        <v>13769.10305</v>
      </c>
      <c r="N32" s="18">
        <v>13227.242919999999</v>
      </c>
      <c r="O32" s="18">
        <v>13539.048599999998</v>
      </c>
      <c r="P32" s="18">
        <v>12639.470539999998</v>
      </c>
      <c r="Q32" s="18">
        <v>14101.763649999999</v>
      </c>
      <c r="R32" s="18">
        <v>15874.417649999996</v>
      </c>
      <c r="S32" s="18">
        <v>17636.82921</v>
      </c>
      <c r="T32" s="18">
        <v>17450.272259999998</v>
      </c>
      <c r="U32" s="18">
        <v>17949.705970000003</v>
      </c>
    </row>
    <row r="33" spans="2:21" ht="14.45" customHeight="1" x14ac:dyDescent="0.45">
      <c r="B33" s="7" t="s">
        <v>18</v>
      </c>
      <c r="C33" s="18">
        <v>0</v>
      </c>
      <c r="D33" s="18">
        <v>0</v>
      </c>
      <c r="E33" s="18">
        <v>0</v>
      </c>
      <c r="F33" s="18">
        <v>0</v>
      </c>
      <c r="G33" s="18">
        <v>0</v>
      </c>
      <c r="H33" s="18">
        <v>0</v>
      </c>
      <c r="I33" s="18">
        <v>11763.521210000001</v>
      </c>
      <c r="J33" s="18">
        <v>18318.006450000004</v>
      </c>
      <c r="K33" s="18">
        <v>17443.988410000002</v>
      </c>
      <c r="L33" s="18">
        <v>19245.501559999997</v>
      </c>
      <c r="M33" s="18">
        <v>21174.029140000002</v>
      </c>
      <c r="N33" s="18">
        <v>19726.914860000001</v>
      </c>
      <c r="O33" s="18">
        <v>19463.049449999999</v>
      </c>
      <c r="P33" s="18">
        <v>20561.451410000001</v>
      </c>
      <c r="Q33" s="18">
        <v>21290.805270000004</v>
      </c>
      <c r="R33" s="18">
        <v>21746.071889999999</v>
      </c>
      <c r="S33" s="18">
        <v>22538.297149999999</v>
      </c>
      <c r="T33" s="18">
        <v>24087.043150000001</v>
      </c>
      <c r="U33" s="18">
        <v>30423.494450000002</v>
      </c>
    </row>
    <row r="34" spans="2:21" ht="14.45" customHeight="1" x14ac:dyDescent="0.45">
      <c r="B34" s="7" t="s">
        <v>19</v>
      </c>
      <c r="C34" s="18">
        <v>1048.7682399999999</v>
      </c>
      <c r="D34" s="18">
        <v>1136.9143200000001</v>
      </c>
      <c r="E34" s="18">
        <v>1226.93983</v>
      </c>
      <c r="F34" s="18">
        <v>1601.4195300000001</v>
      </c>
      <c r="G34" s="18">
        <v>1690.9044899999999</v>
      </c>
      <c r="H34" s="18">
        <v>2033.1641399999999</v>
      </c>
      <c r="I34" s="18">
        <v>2302.7068899999999</v>
      </c>
      <c r="J34" s="18">
        <v>2438.2936299999997</v>
      </c>
      <c r="K34" s="18">
        <v>2628.3833399999999</v>
      </c>
      <c r="L34" s="18">
        <v>2822.3881499999998</v>
      </c>
      <c r="M34" s="18">
        <v>3099.2408399999999</v>
      </c>
      <c r="N34" s="18">
        <v>3241.2883900000002</v>
      </c>
      <c r="O34" s="18">
        <v>3585.8081699999998</v>
      </c>
      <c r="P34" s="18">
        <v>3684.93649</v>
      </c>
      <c r="Q34" s="18">
        <v>4801.4007000000001</v>
      </c>
      <c r="R34" s="18">
        <v>5121.5300700000007</v>
      </c>
      <c r="S34" s="18">
        <v>5575.97379</v>
      </c>
      <c r="T34" s="18">
        <v>6196.5977400000002</v>
      </c>
      <c r="U34" s="18">
        <v>6902.3619699999999</v>
      </c>
    </row>
    <row r="35" spans="2:21" ht="28.9" customHeight="1" x14ac:dyDescent="0.45">
      <c r="B35" s="8" t="s">
        <v>14</v>
      </c>
      <c r="C35" s="19">
        <f>SUM(C30:C34)</f>
        <v>161034.73888000002</v>
      </c>
      <c r="D35" s="19">
        <f t="shared" ref="D35:U35" si="1">SUM(D30:D34)</f>
        <v>175533.19482000003</v>
      </c>
      <c r="E35" s="19">
        <f t="shared" si="1"/>
        <v>185334.57763000004</v>
      </c>
      <c r="F35" s="19">
        <f t="shared" si="1"/>
        <v>202510.53891000006</v>
      </c>
      <c r="G35" s="19">
        <f t="shared" si="1"/>
        <v>225756.64966999993</v>
      </c>
      <c r="H35" s="19">
        <f t="shared" si="1"/>
        <v>245294.33724999995</v>
      </c>
      <c r="I35" s="19">
        <f t="shared" si="1"/>
        <v>272207.71882999997</v>
      </c>
      <c r="J35" s="19">
        <f t="shared" si="1"/>
        <v>292041.27954999998</v>
      </c>
      <c r="K35" s="19">
        <f t="shared" si="1"/>
        <v>279877.29079000006</v>
      </c>
      <c r="L35" s="19">
        <f t="shared" si="1"/>
        <v>308389.04115</v>
      </c>
      <c r="M35" s="19">
        <f t="shared" si="1"/>
        <v>320372.91026999993</v>
      </c>
      <c r="N35" s="19">
        <f t="shared" si="1"/>
        <v>333228.07429999998</v>
      </c>
      <c r="O35" s="19">
        <f t="shared" si="1"/>
        <v>352998.14775999996</v>
      </c>
      <c r="P35" s="19">
        <f t="shared" si="1"/>
        <v>368432.29508000001</v>
      </c>
      <c r="Q35" s="19">
        <f t="shared" si="1"/>
        <v>421189.96327000001</v>
      </c>
      <c r="R35" s="19">
        <f t="shared" si="1"/>
        <v>426381.95420999994</v>
      </c>
      <c r="S35" s="19">
        <f t="shared" si="1"/>
        <v>487373.86111999996</v>
      </c>
      <c r="T35" s="19">
        <f t="shared" si="1"/>
        <v>541288.16578999988</v>
      </c>
      <c r="U35" s="19">
        <f t="shared" si="1"/>
        <v>620870.38945000002</v>
      </c>
    </row>
    <row r="36" spans="2:21" ht="37.15" customHeight="1" x14ac:dyDescent="0.45">
      <c r="B36" s="9" t="s">
        <v>20</v>
      </c>
      <c r="C36" s="20">
        <f>C29+C35</f>
        <v>269864.01705000002</v>
      </c>
      <c r="D36" s="20">
        <f t="shared" ref="D36:U36" si="2">D29+D35</f>
        <v>301655.81548000005</v>
      </c>
      <c r="E36" s="20">
        <f t="shared" si="2"/>
        <v>339035.93596000003</v>
      </c>
      <c r="F36" s="20">
        <f t="shared" si="2"/>
        <v>374834.01206000004</v>
      </c>
      <c r="G36" s="20">
        <f t="shared" si="2"/>
        <v>412675.92039999989</v>
      </c>
      <c r="H36" s="20">
        <f t="shared" si="2"/>
        <v>446257.00820999994</v>
      </c>
      <c r="I36" s="20">
        <f t="shared" si="2"/>
        <v>493820.26395999995</v>
      </c>
      <c r="J36" s="20">
        <f t="shared" si="2"/>
        <v>524372.61199999996</v>
      </c>
      <c r="K36" s="20">
        <f t="shared" si="2"/>
        <v>523853.03779000009</v>
      </c>
      <c r="L36" s="20">
        <f t="shared" si="2"/>
        <v>570887.62394999992</v>
      </c>
      <c r="M36" s="20">
        <f t="shared" si="2"/>
        <v>591913.05839999998</v>
      </c>
      <c r="N36" s="20">
        <f t="shared" si="2"/>
        <v>622937.40066999989</v>
      </c>
      <c r="O36" s="20">
        <f t="shared" si="2"/>
        <v>651520.36980999995</v>
      </c>
      <c r="P36" s="20">
        <f t="shared" si="2"/>
        <v>673826.89060000004</v>
      </c>
      <c r="Q36" s="20">
        <f t="shared" si="2"/>
        <v>805259.68751000008</v>
      </c>
      <c r="R36" s="20">
        <f t="shared" si="2"/>
        <v>809375.52240999998</v>
      </c>
      <c r="S36" s="20">
        <f t="shared" si="2"/>
        <v>911094.30602999986</v>
      </c>
      <c r="T36" s="20">
        <f t="shared" si="2"/>
        <v>962647.19622999988</v>
      </c>
      <c r="U36" s="20">
        <f t="shared" si="2"/>
        <v>1105119.5173840001</v>
      </c>
    </row>
    <row r="37" spans="2:21" ht="37.15" customHeight="1" x14ac:dyDescent="0.45">
      <c r="B37" s="10" t="s">
        <v>21</v>
      </c>
      <c r="C37" s="22">
        <v>0</v>
      </c>
      <c r="D37" s="22">
        <v>0</v>
      </c>
      <c r="E37" s="22">
        <v>2214.2220000000002</v>
      </c>
      <c r="F37" s="22">
        <v>0</v>
      </c>
      <c r="G37" s="22">
        <v>0</v>
      </c>
      <c r="H37" s="22">
        <v>11483.90128</v>
      </c>
      <c r="I37" s="22">
        <v>8447.4606100000001</v>
      </c>
      <c r="J37" s="22">
        <v>19174.843966</v>
      </c>
      <c r="K37" s="22">
        <v>7865.4639899999602</v>
      </c>
      <c r="L37" s="22">
        <v>0</v>
      </c>
      <c r="M37" s="22">
        <v>0</v>
      </c>
      <c r="N37" s="22">
        <v>3423.781500000041</v>
      </c>
      <c r="O37" s="22">
        <v>0</v>
      </c>
      <c r="P37" s="22">
        <v>5458.7881599999964</v>
      </c>
      <c r="Q37" s="22">
        <v>1512.0807900000364</v>
      </c>
      <c r="R37" s="22">
        <v>0</v>
      </c>
      <c r="S37" s="22">
        <v>0</v>
      </c>
      <c r="T37" s="22">
        <v>0</v>
      </c>
      <c r="U37" s="22">
        <v>9521.5795199999993</v>
      </c>
    </row>
    <row r="38" spans="2:21" x14ac:dyDescent="0.45">
      <c r="C38" s="14"/>
      <c r="D38" s="14"/>
      <c r="E38" s="14"/>
      <c r="F38" s="14"/>
      <c r="G38" s="14"/>
      <c r="H38" s="14"/>
      <c r="I38" s="14"/>
      <c r="J38" s="14"/>
      <c r="K38" s="14"/>
      <c r="L38" s="14"/>
      <c r="M38" s="14"/>
      <c r="N38" s="14"/>
      <c r="O38" s="14"/>
      <c r="P38" s="14"/>
      <c r="Q38" s="14"/>
      <c r="R38" s="14"/>
      <c r="S38" s="14"/>
      <c r="T38" s="14"/>
    </row>
    <row r="39" spans="2:21" ht="28.5" customHeight="1" x14ac:dyDescent="0.45">
      <c r="B39" s="23" t="s">
        <v>30</v>
      </c>
      <c r="C39" s="23"/>
      <c r="D39" s="23"/>
      <c r="E39" s="23"/>
      <c r="F39" s="23"/>
      <c r="G39" s="23"/>
      <c r="H39" s="23"/>
      <c r="I39" s="23"/>
      <c r="J39" s="23"/>
      <c r="K39" s="23"/>
      <c r="L39" s="23"/>
      <c r="M39" s="23"/>
      <c r="N39" s="23"/>
      <c r="O39" s="23"/>
      <c r="P39" s="23"/>
      <c r="Q39" s="23"/>
      <c r="R39" s="23"/>
      <c r="S39" s="23"/>
      <c r="T39" s="4"/>
    </row>
    <row r="40" spans="2:21" ht="18.75" customHeight="1" x14ac:dyDescent="0.45">
      <c r="B40" s="23" t="s">
        <v>31</v>
      </c>
      <c r="C40" s="23"/>
      <c r="D40" s="23"/>
      <c r="E40" s="23"/>
      <c r="F40" s="23"/>
      <c r="G40" s="23"/>
      <c r="H40" s="23"/>
      <c r="I40" s="23"/>
      <c r="J40" s="23"/>
      <c r="K40" s="23"/>
      <c r="L40" s="23"/>
      <c r="M40" s="23"/>
      <c r="N40" s="23"/>
      <c r="O40" s="23"/>
      <c r="P40" s="23"/>
      <c r="Q40" s="23"/>
      <c r="R40" s="23"/>
      <c r="S40" s="23"/>
      <c r="T40" s="15"/>
    </row>
    <row r="41" spans="2:21" ht="15" customHeight="1" x14ac:dyDescent="0.45">
      <c r="T41" s="15"/>
    </row>
    <row r="42" spans="2:21" x14ac:dyDescent="0.45">
      <c r="I42" s="17"/>
      <c r="J42" s="16"/>
      <c r="T42" s="15"/>
    </row>
    <row r="43" spans="2:21" x14ac:dyDescent="0.45">
      <c r="I43" s="16"/>
    </row>
  </sheetData>
  <mergeCells count="10">
    <mergeCell ref="B39:S39"/>
    <mergeCell ref="B40:S40"/>
    <mergeCell ref="B14:T14"/>
    <mergeCell ref="F2:K2"/>
    <mergeCell ref="F3:K3"/>
    <mergeCell ref="F4:K4"/>
    <mergeCell ref="B9:T9"/>
    <mergeCell ref="B10:T10"/>
    <mergeCell ref="B11:T11"/>
    <mergeCell ref="B12:T12"/>
  </mergeCells>
  <pageMargins left="0.70866141732283472" right="0.70866141732283472" top="0.74803149606299213" bottom="0.74803149606299213" header="0.31496062992125984" footer="0.31496062992125984"/>
  <pageSetup scale="33" fitToWidth="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Notas</vt:lpstr>
      <vt:lpstr>Notas!Área_de_impresión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Nayeli Ortiz Juárez</dc:creator>
  <cp:lastModifiedBy>AdminSALUD</cp:lastModifiedBy>
  <dcterms:created xsi:type="dcterms:W3CDTF">2025-01-16T23:37:24Z</dcterms:created>
  <dcterms:modified xsi:type="dcterms:W3CDTF">2025-12-08T23:47:07Z</dcterms:modified>
</cp:coreProperties>
</file>